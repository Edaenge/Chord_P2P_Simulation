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75" windowWidth="18960" windowHeight="8070"/>
  </bookViews>
  <sheets>
    <sheet name="Blad1" sheetId="1" r:id="rId1"/>
    <sheet name="Blad3" sheetId="3" r:id="rId2"/>
  </sheets>
  <functionGroups/>
  <calcPr calcId="125725"/>
</workbook>
</file>

<file path=xl/calcChain.xml><?xml version="1.0" encoding="utf-8"?>
<calcChain xmlns="http://schemas.openxmlformats.org/spreadsheetml/2006/main">
  <c r="J3" i="3"/>
  <c r="C2"/>
  <c r="D3" l="1"/>
  <c r="D4"/>
  <c r="D5"/>
  <c r="D6"/>
  <c r="D7"/>
  <c r="D8"/>
  <c r="D9"/>
  <c r="D10"/>
  <c r="D11"/>
  <c r="D12"/>
  <c r="D13"/>
  <c r="C3"/>
  <c r="C4"/>
  <c r="C5"/>
  <c r="C6"/>
  <c r="C7"/>
  <c r="C8"/>
  <c r="C9"/>
  <c r="C10"/>
  <c r="C11"/>
  <c r="C12"/>
  <c r="C13"/>
</calcChain>
</file>

<file path=xl/sharedStrings.xml><?xml version="1.0" encoding="utf-8"?>
<sst xmlns="http://schemas.openxmlformats.org/spreadsheetml/2006/main" count="13" uniqueCount="9">
  <si>
    <t xml:space="preserve">Number of hops untill succeccful lookup </t>
  </si>
  <si>
    <t>The probability that a specific number of hops is required, %</t>
  </si>
  <si>
    <t>Average, elapsed time/hop</t>
  </si>
  <si>
    <t>Hop Nr.</t>
  </si>
  <si>
    <t>Nr. of Lookups 1000</t>
  </si>
  <si>
    <t>Nr. of Nodes 4000</t>
  </si>
  <si>
    <t>Nr. of Nodes 1000</t>
  </si>
  <si>
    <t>Average Time Taken / Hop (ms)</t>
  </si>
  <si>
    <t>The probability of hops in X Lookups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</si>
</sst>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3" fillId="0" borderId="0" xfId="0" applyFont="1" applyAlignment="1">
      <alignment horizontal="center" vertical="center" readingOrder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anchor="t" anchorCtr="0"/>
          <a:lstStyle/>
          <a:p>
            <a:pPr algn="ctr">
              <a:defRPr sz="1400"/>
            </a:pPr>
            <a:r>
              <a:rPr lang="en-US" sz="1400"/>
              <a:t>1000 lookups in a Chord ring with 4000 nodes</a:t>
            </a:r>
          </a:p>
        </c:rich>
      </c:tx>
      <c:layout>
        <c:manualLayout>
          <c:xMode val="edge"/>
          <c:yMode val="edge"/>
          <c:x val="0.18645089015868921"/>
          <c:y val="1.1849751298570202E-2"/>
        </c:manualLayout>
      </c:layout>
      <c:overlay val="1"/>
    </c:title>
    <c:plotArea>
      <c:layout>
        <c:manualLayout>
          <c:layoutTarget val="inner"/>
          <c:xMode val="edge"/>
          <c:yMode val="edge"/>
          <c:x val="7.9869335218546611E-2"/>
          <c:y val="7.2073137560362169E-2"/>
          <c:w val="0.72216561165148485"/>
          <c:h val="0.80278325349191493"/>
        </c:manualLayout>
      </c:layout>
      <c:scatterChart>
        <c:scatterStyle val="lineMarker"/>
        <c:ser>
          <c:idx val="0"/>
          <c:order val="0"/>
          <c:tx>
            <c:strRef>
              <c:f>Blad1!$O$50</c:f>
              <c:strCache>
                <c:ptCount val="1"/>
                <c:pt idx="0">
                  <c:v>The probability of hops in X Lookups</c:v>
                </c:pt>
              </c:strCache>
            </c:strRef>
          </c:tx>
          <c:spPr>
            <a:ln w="19050"/>
          </c:spPr>
          <c:marker>
            <c:symbol val="x"/>
            <c:size val="5"/>
            <c:spPr>
              <a:ln w="19050"/>
            </c:spPr>
          </c:marker>
          <c:xVal>
            <c:numRef>
              <c:f>Blad1!$N$51:$N$62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</c:numCache>
            </c:numRef>
          </c:xVal>
          <c:yVal>
            <c:numRef>
              <c:f>Blad1!$O$51:$O$62</c:f>
              <c:numCache>
                <c:formatCode>General</c:formatCode>
                <c:ptCount val="12"/>
                <c:pt idx="0">
                  <c:v>0</c:v>
                </c:pt>
                <c:pt idx="1">
                  <c:v>0.1</c:v>
                </c:pt>
                <c:pt idx="2">
                  <c:v>2.4</c:v>
                </c:pt>
                <c:pt idx="3">
                  <c:v>7.2</c:v>
                </c:pt>
                <c:pt idx="4">
                  <c:v>14.7</c:v>
                </c:pt>
                <c:pt idx="5">
                  <c:v>23</c:v>
                </c:pt>
                <c:pt idx="6">
                  <c:v>24.4</c:v>
                </c:pt>
                <c:pt idx="7">
                  <c:v>17.2</c:v>
                </c:pt>
                <c:pt idx="8">
                  <c:v>9.1</c:v>
                </c:pt>
                <c:pt idx="9">
                  <c:v>1.5</c:v>
                </c:pt>
                <c:pt idx="10">
                  <c:v>0.3</c:v>
                </c:pt>
                <c:pt idx="11">
                  <c:v>0.1</c:v>
                </c:pt>
              </c:numCache>
            </c:numRef>
          </c:yVal>
        </c:ser>
        <c:ser>
          <c:idx val="1"/>
          <c:order val="1"/>
          <c:tx>
            <c:strRef>
              <c:f>Blad1!$P$50</c:f>
              <c:strCache>
                <c:ptCount val="1"/>
                <c:pt idx="0">
                  <c:v>Average Time Taken / Hop (ms)</c:v>
                </c:pt>
              </c:strCache>
            </c:strRef>
          </c:tx>
          <c:spPr>
            <a:ln w="19050">
              <a:solidFill>
                <a:schemeClr val="accent2"/>
              </a:solidFill>
            </a:ln>
          </c:spPr>
          <c:marker>
            <c:symbol val="x"/>
            <c:size val="7"/>
            <c:spPr>
              <a:noFill/>
              <a:ln w="19050"/>
            </c:spPr>
          </c:marker>
          <c:xVal>
            <c:numRef>
              <c:f>Blad1!$N$51:$N$62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</c:numCache>
            </c:numRef>
          </c:xVal>
          <c:yVal>
            <c:numRef>
              <c:f>Blad1!$P$51:$P$62</c:f>
              <c:numCache>
                <c:formatCode>General</c:formatCode>
                <c:ptCount val="12"/>
                <c:pt idx="0">
                  <c:v>0</c:v>
                </c:pt>
                <c:pt idx="1">
                  <c:v>6</c:v>
                </c:pt>
                <c:pt idx="2">
                  <c:v>6.197916666666667</c:v>
                </c:pt>
                <c:pt idx="3">
                  <c:v>6.125</c:v>
                </c:pt>
                <c:pt idx="4">
                  <c:v>6.1746031746031749</c:v>
                </c:pt>
                <c:pt idx="5">
                  <c:v>6.5900621118012426</c:v>
                </c:pt>
                <c:pt idx="6">
                  <c:v>6.315061475409836</c:v>
                </c:pt>
                <c:pt idx="7">
                  <c:v>6.478036175710594</c:v>
                </c:pt>
                <c:pt idx="8">
                  <c:v>6.1945054945054947</c:v>
                </c:pt>
                <c:pt idx="9">
                  <c:v>6.2666666666666666</c:v>
                </c:pt>
                <c:pt idx="10">
                  <c:v>6.3055555555555554</c:v>
                </c:pt>
                <c:pt idx="11">
                  <c:v>7.9230769230769234</c:v>
                </c:pt>
              </c:numCache>
            </c:numRef>
          </c:yVal>
        </c:ser>
        <c:axId val="92231168"/>
        <c:axId val="92250496"/>
      </c:scatterChart>
      <c:valAx>
        <c:axId val="922311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Number</a:t>
                </a:r>
                <a:r>
                  <a:rPr lang="en-US" sz="900" baseline="0"/>
                  <a:t> of hops</a:t>
                </a:r>
                <a:endParaRPr lang="en-US" sz="900"/>
              </a:p>
            </c:rich>
          </c:tx>
          <c:layout>
            <c:manualLayout>
              <c:xMode val="edge"/>
              <c:yMode val="edge"/>
              <c:x val="0.38096237970253727"/>
              <c:y val="0.95789129561651776"/>
            </c:manualLayout>
          </c:layout>
        </c:title>
        <c:numFmt formatCode="General" sourceLinked="1"/>
        <c:tickLblPos val="nextTo"/>
        <c:crossAx val="92250496"/>
        <c:crosses val="autoZero"/>
        <c:crossBetween val="midCat"/>
        <c:majorUnit val="1"/>
      </c:valAx>
      <c:valAx>
        <c:axId val="92250496"/>
        <c:scaling>
          <c:orientation val="minMax"/>
        </c:scaling>
        <c:axPos val="l"/>
        <c:majorGridlines>
          <c:spPr>
            <a:ln w="19050"/>
          </c:spPr>
        </c:majorGridlines>
        <c:minorGridlines>
          <c:spPr>
            <a:ln w="3175"/>
          </c:spPr>
        </c:min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>
                    <a:solidFill>
                      <a:srgbClr val="0070C0"/>
                    </a:solidFill>
                  </a:rPr>
                  <a:t>Pr</a:t>
                </a:r>
                <a:r>
                  <a:rPr lang="en-US" sz="900"/>
                  <a:t>obability</a:t>
                </a:r>
                <a:r>
                  <a:rPr lang="en-US" sz="900" baseline="0"/>
                  <a:t> &amp; </a:t>
                </a:r>
                <a:r>
                  <a:rPr lang="en-US" sz="900" baseline="0">
                    <a:solidFill>
                      <a:srgbClr val="C00000"/>
                    </a:solidFill>
                  </a:rPr>
                  <a:t>Ti</a:t>
                </a:r>
                <a:r>
                  <a:rPr lang="en-US" sz="900" baseline="0"/>
                  <a:t>me</a:t>
                </a:r>
                <a:endParaRPr lang="en-US" sz="900"/>
              </a:p>
            </c:rich>
          </c:tx>
          <c:layout>
            <c:manualLayout>
              <c:xMode val="edge"/>
              <c:yMode val="edge"/>
              <c:x val="4.023630173163339E-3"/>
              <c:y val="0.38251277309197573"/>
            </c:manualLayout>
          </c:layout>
        </c:title>
        <c:numFmt formatCode="General" sourceLinked="1"/>
        <c:minorTickMark val="out"/>
        <c:tickLblPos val="nextTo"/>
        <c:crossAx val="92231168"/>
        <c:crosses val="autoZero"/>
        <c:crossBetween val="midCat"/>
        <c:minorUnit val="1"/>
      </c:valAx>
    </c:plotArea>
    <c:legend>
      <c:legendPos val="r"/>
      <c:layout>
        <c:manualLayout>
          <c:xMode val="edge"/>
          <c:yMode val="edge"/>
          <c:x val="0.80089759433001162"/>
          <c:y val="0.26457857124295275"/>
          <c:w val="0.15899175123248024"/>
          <c:h val="0.41539710506483796"/>
        </c:manualLayout>
      </c:layout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anchor="t" anchorCtr="0"/>
          <a:lstStyle/>
          <a:p>
            <a:pPr algn="ctr">
              <a:defRPr sz="1400"/>
            </a:pPr>
            <a:r>
              <a:rPr lang="en-US" sz="1400"/>
              <a:t>1000 lookups in a Chord ring with 1000 nodes</a:t>
            </a:r>
          </a:p>
        </c:rich>
      </c:tx>
      <c:layout>
        <c:manualLayout>
          <c:xMode val="edge"/>
          <c:yMode val="edge"/>
          <c:x val="0.18645089015868921"/>
          <c:y val="1.1849751298570212E-2"/>
        </c:manualLayout>
      </c:layout>
      <c:overlay val="1"/>
    </c:title>
    <c:plotArea>
      <c:layout>
        <c:manualLayout>
          <c:layoutTarget val="inner"/>
          <c:xMode val="edge"/>
          <c:yMode val="edge"/>
          <c:x val="7.9869335218546653E-2"/>
          <c:y val="7.2073137560362169E-2"/>
          <c:w val="0.72216561165148518"/>
          <c:h val="0.80278325349191493"/>
        </c:manualLayout>
      </c:layout>
      <c:scatterChart>
        <c:scatterStyle val="lineMarker"/>
        <c:ser>
          <c:idx val="0"/>
          <c:order val="0"/>
          <c:tx>
            <c:strRef>
              <c:f>Blad1!$O$6</c:f>
              <c:strCache>
                <c:ptCount val="1"/>
                <c:pt idx="0">
                  <c:v>The probability of hops in X Lookups</c:v>
                </c:pt>
              </c:strCache>
            </c:strRef>
          </c:tx>
          <c:spPr>
            <a:ln w="19050"/>
          </c:spPr>
          <c:marker>
            <c:symbol val="x"/>
            <c:size val="5"/>
            <c:spPr>
              <a:ln w="19050"/>
            </c:spPr>
          </c:marker>
          <c:xVal>
            <c:numRef>
              <c:f>Blad1!$N$7:$N$17</c:f>
              <c:numCache>
                <c:formatCode>General</c:formatCode>
                <c:ptCount val="11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Blad1!$O$7:$O$17</c:f>
              <c:numCache>
                <c:formatCode>General</c:formatCode>
                <c:ptCount val="11"/>
                <c:pt idx="0">
                  <c:v>0.8</c:v>
                </c:pt>
                <c:pt idx="1">
                  <c:v>0.1</c:v>
                </c:pt>
                <c:pt idx="2">
                  <c:v>0.9</c:v>
                </c:pt>
                <c:pt idx="3">
                  <c:v>4.8</c:v>
                </c:pt>
                <c:pt idx="4">
                  <c:v>13.5</c:v>
                </c:pt>
                <c:pt idx="5">
                  <c:v>25.7</c:v>
                </c:pt>
                <c:pt idx="6">
                  <c:v>26.5</c:v>
                </c:pt>
                <c:pt idx="7">
                  <c:v>19.3</c:v>
                </c:pt>
                <c:pt idx="8">
                  <c:v>7</c:v>
                </c:pt>
                <c:pt idx="9">
                  <c:v>1.3</c:v>
                </c:pt>
                <c:pt idx="10">
                  <c:v>0.1</c:v>
                </c:pt>
              </c:numCache>
            </c:numRef>
          </c:yVal>
        </c:ser>
        <c:ser>
          <c:idx val="1"/>
          <c:order val="1"/>
          <c:tx>
            <c:strRef>
              <c:f>Blad1!$P$6</c:f>
              <c:strCache>
                <c:ptCount val="1"/>
                <c:pt idx="0">
                  <c:v>Average Time Taken / Hop (ms)</c:v>
                </c:pt>
              </c:strCache>
            </c:strRef>
          </c:tx>
          <c:spPr>
            <a:ln w="19050">
              <a:solidFill>
                <a:schemeClr val="accent2"/>
              </a:solidFill>
            </a:ln>
          </c:spPr>
          <c:marker>
            <c:symbol val="x"/>
            <c:size val="7"/>
            <c:spPr>
              <a:noFill/>
              <a:ln w="19050"/>
            </c:spPr>
          </c:marker>
          <c:xVal>
            <c:numRef>
              <c:f>Blad1!$N$7:$N$17</c:f>
              <c:numCache>
                <c:formatCode>General</c:formatCode>
                <c:ptCount val="11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Blad1!$P$7:$P$17</c:f>
              <c:numCache>
                <c:formatCode>General</c:formatCode>
                <c:ptCount val="11"/>
                <c:pt idx="0">
                  <c:v>0</c:v>
                </c:pt>
                <c:pt idx="1">
                  <c:v>6</c:v>
                </c:pt>
                <c:pt idx="2">
                  <c:v>5.5555555555555554</c:v>
                </c:pt>
                <c:pt idx="3">
                  <c:v>5.953125</c:v>
                </c:pt>
                <c:pt idx="4">
                  <c:v>6.253333333333333</c:v>
                </c:pt>
                <c:pt idx="5">
                  <c:v>6.1867704280155644</c:v>
                </c:pt>
                <c:pt idx="6">
                  <c:v>6.3331536388140162</c:v>
                </c:pt>
                <c:pt idx="7">
                  <c:v>6.232512953367876</c:v>
                </c:pt>
                <c:pt idx="8">
                  <c:v>6.246031746031746</c:v>
                </c:pt>
                <c:pt idx="9">
                  <c:v>6.2461538461538462</c:v>
                </c:pt>
                <c:pt idx="10">
                  <c:v>6.8181818181818183</c:v>
                </c:pt>
              </c:numCache>
            </c:numRef>
          </c:yVal>
        </c:ser>
        <c:axId val="94003968"/>
        <c:axId val="94006272"/>
      </c:scatterChart>
      <c:valAx>
        <c:axId val="940039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Number</a:t>
                </a:r>
                <a:r>
                  <a:rPr lang="en-US" sz="900" baseline="0"/>
                  <a:t> of hops</a:t>
                </a:r>
                <a:endParaRPr lang="en-US" sz="900"/>
              </a:p>
            </c:rich>
          </c:tx>
          <c:layout>
            <c:manualLayout>
              <c:xMode val="edge"/>
              <c:yMode val="edge"/>
              <c:x val="0.38096237970253743"/>
              <c:y val="0.9578912956165182"/>
            </c:manualLayout>
          </c:layout>
        </c:title>
        <c:numFmt formatCode="General" sourceLinked="1"/>
        <c:tickLblPos val="nextTo"/>
        <c:crossAx val="94006272"/>
        <c:crosses val="autoZero"/>
        <c:crossBetween val="midCat"/>
        <c:majorUnit val="1"/>
      </c:valAx>
      <c:valAx>
        <c:axId val="94006272"/>
        <c:scaling>
          <c:orientation val="minMax"/>
        </c:scaling>
        <c:axPos val="l"/>
        <c:majorGridlines>
          <c:spPr>
            <a:ln w="19050"/>
          </c:spPr>
        </c:majorGridlines>
        <c:minorGridlines>
          <c:spPr>
            <a:ln w="3175"/>
          </c:spPr>
        </c:min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>
                    <a:solidFill>
                      <a:srgbClr val="0070C0"/>
                    </a:solidFill>
                  </a:rPr>
                  <a:t>Pr</a:t>
                </a:r>
                <a:r>
                  <a:rPr lang="en-US" sz="900"/>
                  <a:t>obability</a:t>
                </a:r>
                <a:r>
                  <a:rPr lang="en-US" sz="900" baseline="0"/>
                  <a:t> &amp; </a:t>
                </a:r>
                <a:r>
                  <a:rPr lang="en-US" sz="900" baseline="0">
                    <a:solidFill>
                      <a:srgbClr val="C00000"/>
                    </a:solidFill>
                  </a:rPr>
                  <a:t>Ti</a:t>
                </a:r>
                <a:r>
                  <a:rPr lang="en-US" sz="900" baseline="0"/>
                  <a:t>me</a:t>
                </a:r>
                <a:endParaRPr lang="en-US" sz="900"/>
              </a:p>
            </c:rich>
          </c:tx>
          <c:layout>
            <c:manualLayout>
              <c:xMode val="edge"/>
              <c:yMode val="edge"/>
              <c:x val="4.0236301731633407E-3"/>
              <c:y val="0.38251277309197601"/>
            </c:manualLayout>
          </c:layout>
        </c:title>
        <c:numFmt formatCode="General" sourceLinked="1"/>
        <c:minorTickMark val="out"/>
        <c:tickLblPos val="nextTo"/>
        <c:crossAx val="94003968"/>
        <c:crosses val="autoZero"/>
        <c:crossBetween val="midCat"/>
        <c:minorUnit val="1"/>
      </c:valAx>
    </c:plotArea>
    <c:legend>
      <c:legendPos val="r"/>
      <c:layout>
        <c:manualLayout>
          <c:xMode val="edge"/>
          <c:yMode val="edge"/>
          <c:x val="0.80089759433001162"/>
          <c:y val="0.26457857124295303"/>
          <c:w val="0.15899175123248033"/>
          <c:h val="0.41539710506483807"/>
        </c:manualLayout>
      </c:layout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anchor="t" anchorCtr="0"/>
          <a:lstStyle/>
          <a:p>
            <a:pPr>
              <a:defRPr/>
            </a:pPr>
            <a:r>
              <a:rPr lang="en-US"/>
              <a:t>Test with 1000 lookups in a network with 1000 nodes</a:t>
            </a:r>
          </a:p>
        </c:rich>
      </c:tx>
      <c:overlay val="1"/>
    </c:title>
    <c:plotArea>
      <c:layout>
        <c:manualLayout>
          <c:layoutTarget val="inner"/>
          <c:xMode val="edge"/>
          <c:yMode val="edge"/>
          <c:x val="3.4461728195263414E-2"/>
          <c:y val="7.2073137560362169E-2"/>
          <c:w val="0.74142949231978605"/>
          <c:h val="0.82163860069308436"/>
        </c:manualLayout>
      </c:layout>
      <c:scatterChart>
        <c:scatterStyle val="lineMarker"/>
        <c:ser>
          <c:idx val="0"/>
          <c:order val="0"/>
          <c:tx>
            <c:strRef>
              <c:f>Blad3!$C$1</c:f>
              <c:strCache>
                <c:ptCount val="1"/>
                <c:pt idx="0">
                  <c:v>The probability that a specific number of hops is required, %</c:v>
                </c:pt>
              </c:strCache>
            </c:strRef>
          </c:tx>
          <c:spPr>
            <a:ln w="19050"/>
          </c:spPr>
          <c:marker>
            <c:symbol val="x"/>
            <c:size val="5"/>
            <c:spPr>
              <a:ln w="19050"/>
            </c:spPr>
          </c:marker>
          <c:xVal>
            <c:numRef>
              <c:f>Blad3!$B$2:$B$13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Blad3!$C$2:$C$13</c:f>
              <c:numCache>
                <c:formatCode>General</c:formatCode>
                <c:ptCount val="12"/>
                <c:pt idx="0">
                  <c:v>0.8</c:v>
                </c:pt>
                <c:pt idx="1">
                  <c:v>0</c:v>
                </c:pt>
                <c:pt idx="2">
                  <c:v>0.1</c:v>
                </c:pt>
                <c:pt idx="3">
                  <c:v>0.9</c:v>
                </c:pt>
                <c:pt idx="4">
                  <c:v>4.8</c:v>
                </c:pt>
                <c:pt idx="5">
                  <c:v>13.5</c:v>
                </c:pt>
                <c:pt idx="6">
                  <c:v>25.7</c:v>
                </c:pt>
                <c:pt idx="7">
                  <c:v>26.5</c:v>
                </c:pt>
                <c:pt idx="8">
                  <c:v>19.3</c:v>
                </c:pt>
                <c:pt idx="9">
                  <c:v>7</c:v>
                </c:pt>
                <c:pt idx="10">
                  <c:v>1.3</c:v>
                </c:pt>
                <c:pt idx="11">
                  <c:v>0.01</c:v>
                </c:pt>
              </c:numCache>
            </c:numRef>
          </c:yVal>
        </c:ser>
        <c:ser>
          <c:idx val="1"/>
          <c:order val="1"/>
          <c:tx>
            <c:strRef>
              <c:f>Blad3!$D$1</c:f>
              <c:strCache>
                <c:ptCount val="1"/>
                <c:pt idx="0">
                  <c:v>Average, elapsed time/hop</c:v>
                </c:pt>
              </c:strCache>
            </c:strRef>
          </c:tx>
          <c:spPr>
            <a:ln w="19050">
              <a:solidFill>
                <a:schemeClr val="accent2"/>
              </a:solidFill>
            </a:ln>
          </c:spPr>
          <c:marker>
            <c:symbol val="x"/>
            <c:size val="7"/>
            <c:spPr>
              <a:noFill/>
              <a:ln w="19050"/>
            </c:spPr>
          </c:marker>
          <c:xVal>
            <c:numRef>
              <c:f>Blad3!$B$2:$B$13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Blad3!$D$2:$D$13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5.5566666666666675</c:v>
                </c:pt>
                <c:pt idx="4">
                  <c:v>5.9524999999999997</c:v>
                </c:pt>
                <c:pt idx="5">
                  <c:v>6.2534000000000001</c:v>
                </c:pt>
                <c:pt idx="6">
                  <c:v>6.1866666666666665</c:v>
                </c:pt>
                <c:pt idx="7">
                  <c:v>6.3328571428571427</c:v>
                </c:pt>
                <c:pt idx="8">
                  <c:v>6.2324999999999999</c:v>
                </c:pt>
                <c:pt idx="9">
                  <c:v>6.2455555555555557</c:v>
                </c:pt>
                <c:pt idx="10">
                  <c:v>6.2460000000000004</c:v>
                </c:pt>
                <c:pt idx="11">
                  <c:v>6.8181818181818183</c:v>
                </c:pt>
              </c:numCache>
            </c:numRef>
          </c:yVal>
        </c:ser>
        <c:axId val="91966080"/>
        <c:axId val="91993216"/>
      </c:scatterChart>
      <c:valAx>
        <c:axId val="919660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hops untill succeccful lookup </a:t>
                </a:r>
                <a:endParaRPr lang="en-US"/>
              </a:p>
            </c:rich>
          </c:tx>
        </c:title>
        <c:numFmt formatCode="General" sourceLinked="1"/>
        <c:tickLblPos val="nextTo"/>
        <c:crossAx val="91993216"/>
        <c:crosses val="autoZero"/>
        <c:crossBetween val="midCat"/>
        <c:majorUnit val="1"/>
      </c:valAx>
      <c:valAx>
        <c:axId val="91993216"/>
        <c:scaling>
          <c:orientation val="minMax"/>
        </c:scaling>
        <c:axPos val="l"/>
        <c:majorGridlines>
          <c:spPr>
            <a:ln w="19050"/>
          </c:spPr>
        </c:majorGridlines>
        <c:minorGridlines>
          <c:spPr>
            <a:ln w="3175"/>
          </c:spPr>
        </c:minorGridlines>
        <c:numFmt formatCode="General" sourceLinked="1"/>
        <c:minorTickMark val="out"/>
        <c:tickLblPos val="nextTo"/>
        <c:crossAx val="91966080"/>
        <c:crosses val="autoZero"/>
        <c:crossBetween val="midCat"/>
        <c:minorUnit val="1"/>
      </c:valAx>
    </c:plotArea>
    <c:legend>
      <c:legendPos val="r"/>
      <c:layout>
        <c:manualLayout>
          <c:xMode val="edge"/>
          <c:yMode val="edge"/>
          <c:x val="0.80089759433001162"/>
          <c:y val="0.26457857124295192"/>
          <c:w val="0.15899175123247994"/>
          <c:h val="0.41539710506483757"/>
        </c:manualLayout>
      </c:layout>
    </c:legend>
    <c:plotVisOnly val="1"/>
    <c:dispBlanksAs val="gap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66</xdr:row>
      <xdr:rowOff>85725</xdr:rowOff>
    </xdr:from>
    <xdr:to>
      <xdr:col>20</xdr:col>
      <xdr:colOff>66675</xdr:colOff>
      <xdr:row>95</xdr:row>
      <xdr:rowOff>9525</xdr:rowOff>
    </xdr:to>
    <xdr:graphicFrame macro="">
      <xdr:nvGraphicFramePr>
        <xdr:cNvPr id="4" name="Diagra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18</xdr:row>
      <xdr:rowOff>95250</xdr:rowOff>
    </xdr:from>
    <xdr:to>
      <xdr:col>20</xdr:col>
      <xdr:colOff>238125</xdr:colOff>
      <xdr:row>47</xdr:row>
      <xdr:rowOff>19050</xdr:rowOff>
    </xdr:to>
    <xdr:graphicFrame macro="">
      <xdr:nvGraphicFramePr>
        <xdr:cNvPr id="6" name="Diagra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161925</xdr:colOff>
      <xdr:row>0</xdr:row>
      <xdr:rowOff>66675</xdr:rowOff>
    </xdr:from>
    <xdr:ext cx="184731" cy="264560"/>
    <xdr:sp macro="" textlink="">
      <xdr:nvSpPr>
        <xdr:cNvPr id="5" name="textruta 4"/>
        <xdr:cNvSpPr txBox="1"/>
      </xdr:nvSpPr>
      <xdr:spPr>
        <a:xfrm>
          <a:off x="161925" y="66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0</xdr:col>
      <xdr:colOff>76200</xdr:colOff>
      <xdr:row>0</xdr:row>
      <xdr:rowOff>38100</xdr:rowOff>
    </xdr:from>
    <xdr:ext cx="184731" cy="264560"/>
    <xdr:sp macro="" textlink="">
      <xdr:nvSpPr>
        <xdr:cNvPr id="7" name="textruta 6"/>
        <xdr:cNvSpPr txBox="1"/>
      </xdr:nvSpPr>
      <xdr:spPr>
        <a:xfrm>
          <a:off x="76200" y="38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0</xdr:col>
      <xdr:colOff>95248</xdr:colOff>
      <xdr:row>0</xdr:row>
      <xdr:rowOff>95249</xdr:rowOff>
    </xdr:from>
    <xdr:ext cx="4286251" cy="1152526"/>
    <xdr:sp macro="" textlink="">
      <xdr:nvSpPr>
        <xdr:cNvPr id="9" name="textruta 8"/>
        <xdr:cNvSpPr txBox="1"/>
      </xdr:nvSpPr>
      <xdr:spPr>
        <a:xfrm>
          <a:off x="95248" y="95249"/>
          <a:ext cx="4286251" cy="115252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bg1"/>
              </a:solidFill>
              <a:latin typeface="+mn-lt"/>
              <a:ea typeface="+mn-ea"/>
              <a:cs typeface="+mn-cs"/>
            </a:rPr>
            <a:t>Click on an arbitary cell and click the "Import</a:t>
          </a:r>
          <a:r>
            <a:rPr lang="en-US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Chord Data" Button.</a:t>
          </a:r>
          <a:br>
            <a:rPr lang="en-US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</a:br>
          <a:r>
            <a:rPr lang="en-US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/>
          </a:r>
          <a:br>
            <a:rPr lang="en-US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</a:br>
          <a:r>
            <a:rPr lang="en-US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Note: Failed Lookups will NOT be included.</a:t>
          </a:r>
          <a:br>
            <a:rPr lang="en-US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</a:br>
          <a:r>
            <a:rPr lang="en-US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/>
          </a:r>
          <a:br>
            <a:rPr lang="en-US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</a:br>
          <a:r>
            <a:rPr lang="en-US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This is a simple Script. No error handling is performed.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Make sure you add correct .log files.</a:t>
          </a:r>
          <a:endParaRPr lang="en-US" sz="1100" b="1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11</xdr:row>
      <xdr:rowOff>76200</xdr:rowOff>
    </xdr:from>
    <xdr:to>
      <xdr:col>28</xdr:col>
      <xdr:colOff>542924</xdr:colOff>
      <xdr:row>41</xdr:row>
      <xdr:rowOff>104775</xdr:rowOff>
    </xdr:to>
    <xdr:graphicFrame macro="">
      <xdr:nvGraphicFramePr>
        <xdr:cNvPr id="5" name="Diagra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Blad1"/>
  <dimension ref="F1:W113"/>
  <sheetViews>
    <sheetView tabSelected="1" workbookViewId="0">
      <selection activeCell="H14" sqref="H14"/>
    </sheetView>
  </sheetViews>
  <sheetFormatPr defaultRowHeight="15"/>
  <cols>
    <col min="6" max="6" width="3.7109375" customWidth="1"/>
    <col min="7" max="7" width="10.85546875" style="1" customWidth="1"/>
    <col min="8" max="8" width="15.7109375" customWidth="1"/>
    <col min="9" max="9" width="3.7109375" customWidth="1"/>
    <col min="10" max="11" width="3.140625" customWidth="1"/>
    <col min="12" max="12" width="3" customWidth="1"/>
    <col min="13" max="13" width="7.7109375" customWidth="1"/>
    <col min="14" max="14" width="7.7109375" bestFit="1" customWidth="1"/>
    <col min="15" max="15" width="37.42578125" customWidth="1"/>
    <col min="16" max="16" width="15.7109375" customWidth="1"/>
    <col min="17" max="17" width="17.42578125" customWidth="1"/>
    <col min="18" max="18" width="18.42578125" customWidth="1"/>
    <col min="21" max="21" width="3.7109375" customWidth="1"/>
    <col min="22" max="22" width="10.85546875" bestFit="1" customWidth="1"/>
    <col min="23" max="23" width="15.7109375" bestFit="1" customWidth="1"/>
    <col min="24" max="24" width="34.140625" bestFit="1" customWidth="1"/>
  </cols>
  <sheetData>
    <row r="1" spans="6:23">
      <c r="H1" s="1"/>
      <c r="I1" s="1"/>
      <c r="N1" s="1"/>
      <c r="O1" s="1"/>
      <c r="P1" s="1"/>
      <c r="Q1" s="1"/>
    </row>
    <row r="2" spans="6:23">
      <c r="F2" s="1"/>
      <c r="H2" s="1"/>
      <c r="N2" s="1"/>
      <c r="O2" s="1"/>
      <c r="P2" s="1"/>
      <c r="Q2" s="1"/>
    </row>
    <row r="6" spans="6:23">
      <c r="N6" s="1" t="s">
        <v>3</v>
      </c>
      <c r="O6" s="1" t="s">
        <v>8</v>
      </c>
      <c r="P6" s="1" t="s">
        <v>7</v>
      </c>
      <c r="Q6" t="s">
        <v>6</v>
      </c>
      <c r="R6" t="s">
        <v>4</v>
      </c>
    </row>
    <row r="7" spans="6:23">
      <c r="N7">
        <v>0</v>
      </c>
      <c r="O7">
        <v>0.8</v>
      </c>
      <c r="P7">
        <v>0</v>
      </c>
    </row>
    <row r="8" spans="6:23">
      <c r="N8">
        <v>2</v>
      </c>
      <c r="O8">
        <v>0.1</v>
      </c>
      <c r="P8">
        <v>6</v>
      </c>
    </row>
    <row r="9" spans="6:23">
      <c r="N9">
        <v>3</v>
      </c>
      <c r="O9">
        <v>0.9</v>
      </c>
      <c r="P9">
        <v>5.5555555555555554</v>
      </c>
    </row>
    <row r="10" spans="6:23">
      <c r="N10">
        <v>4</v>
      </c>
      <c r="O10">
        <v>4.8</v>
      </c>
      <c r="P10">
        <v>5.953125</v>
      </c>
    </row>
    <row r="11" spans="6:23">
      <c r="N11">
        <v>5</v>
      </c>
      <c r="O11">
        <v>13.5</v>
      </c>
      <c r="P11">
        <v>6.253333333333333</v>
      </c>
      <c r="W11" s="1"/>
    </row>
    <row r="12" spans="6:23">
      <c r="N12">
        <v>6</v>
      </c>
      <c r="O12">
        <v>25.7</v>
      </c>
      <c r="P12">
        <v>6.1867704280155644</v>
      </c>
    </row>
    <row r="13" spans="6:23">
      <c r="N13">
        <v>7</v>
      </c>
      <c r="O13">
        <v>26.5</v>
      </c>
      <c r="P13">
        <v>6.3331536388140162</v>
      </c>
    </row>
    <row r="14" spans="6:23">
      <c r="N14">
        <v>8</v>
      </c>
      <c r="O14">
        <v>19.3</v>
      </c>
      <c r="P14">
        <v>6.232512953367876</v>
      </c>
    </row>
    <row r="15" spans="6:23">
      <c r="N15">
        <v>9</v>
      </c>
      <c r="O15">
        <v>7</v>
      </c>
      <c r="P15">
        <v>6.246031746031746</v>
      </c>
    </row>
    <row r="16" spans="6:23">
      <c r="N16">
        <v>10</v>
      </c>
      <c r="O16">
        <v>1.3</v>
      </c>
      <c r="P16">
        <v>6.2461538461538462</v>
      </c>
    </row>
    <row r="17" spans="14:16">
      <c r="N17">
        <v>11</v>
      </c>
      <c r="O17">
        <v>0.1</v>
      </c>
      <c r="P17">
        <v>6.8181818181818183</v>
      </c>
    </row>
    <row r="50" spans="14:18">
      <c r="N50" s="1" t="s">
        <v>3</v>
      </c>
      <c r="O50" s="1" t="s">
        <v>8</v>
      </c>
      <c r="P50" s="1" t="s">
        <v>7</v>
      </c>
      <c r="Q50" t="s">
        <v>5</v>
      </c>
      <c r="R50" t="s">
        <v>4</v>
      </c>
    </row>
    <row r="51" spans="14:18">
      <c r="N51">
        <v>0</v>
      </c>
      <c r="O51">
        <v>0</v>
      </c>
      <c r="P51">
        <v>0</v>
      </c>
    </row>
    <row r="52" spans="14:18">
      <c r="N52">
        <v>3</v>
      </c>
      <c r="O52">
        <v>0.1</v>
      </c>
      <c r="P52">
        <v>6</v>
      </c>
    </row>
    <row r="53" spans="14:18">
      <c r="N53">
        <v>4</v>
      </c>
      <c r="O53">
        <v>2.4</v>
      </c>
      <c r="P53">
        <v>6.197916666666667</v>
      </c>
    </row>
    <row r="54" spans="14:18">
      <c r="N54">
        <v>5</v>
      </c>
      <c r="O54">
        <v>7.2</v>
      </c>
      <c r="P54">
        <v>6.125</v>
      </c>
    </row>
    <row r="55" spans="14:18">
      <c r="N55">
        <v>6</v>
      </c>
      <c r="O55">
        <v>14.7</v>
      </c>
      <c r="P55">
        <v>6.1746031746031749</v>
      </c>
    </row>
    <row r="56" spans="14:18">
      <c r="N56">
        <v>7</v>
      </c>
      <c r="O56">
        <v>23</v>
      </c>
      <c r="P56">
        <v>6.5900621118012426</v>
      </c>
    </row>
    <row r="57" spans="14:18">
      <c r="N57">
        <v>8</v>
      </c>
      <c r="O57">
        <v>24.4</v>
      </c>
      <c r="P57">
        <v>6.315061475409836</v>
      </c>
    </row>
    <row r="58" spans="14:18">
      <c r="N58">
        <v>9</v>
      </c>
      <c r="O58">
        <v>17.2</v>
      </c>
      <c r="P58">
        <v>6.478036175710594</v>
      </c>
    </row>
    <row r="59" spans="14:18">
      <c r="N59">
        <v>10</v>
      </c>
      <c r="O59">
        <v>9.1</v>
      </c>
      <c r="P59">
        <v>6.1945054945054947</v>
      </c>
    </row>
    <row r="60" spans="14:18">
      <c r="N60">
        <v>11</v>
      </c>
      <c r="O60">
        <v>1.5</v>
      </c>
      <c r="P60">
        <v>6.2666666666666666</v>
      </c>
    </row>
    <row r="61" spans="14:18">
      <c r="N61">
        <v>12</v>
      </c>
      <c r="O61">
        <v>0.3</v>
      </c>
      <c r="P61">
        <v>6.3055555555555554</v>
      </c>
    </row>
    <row r="62" spans="14:18">
      <c r="N62">
        <v>13</v>
      </c>
      <c r="O62">
        <v>0.1</v>
      </c>
      <c r="P62">
        <v>7.9230769230769234</v>
      </c>
    </row>
    <row r="101" spans="13:15">
      <c r="M101" s="1"/>
      <c r="N101" s="1"/>
      <c r="O101" s="1"/>
    </row>
    <row r="113" spans="13:15">
      <c r="M113" s="1"/>
      <c r="N113" s="1"/>
      <c r="O113" s="1"/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Blad3"/>
  <dimension ref="A1:J1001"/>
  <sheetViews>
    <sheetView workbookViewId="0">
      <selection activeCell="F24" sqref="F24:G24"/>
    </sheetView>
  </sheetViews>
  <sheetFormatPr defaultRowHeight="15"/>
  <sheetData>
    <row r="1" spans="1:10">
      <c r="B1" s="2" t="s">
        <v>0</v>
      </c>
      <c r="C1" t="s">
        <v>1</v>
      </c>
      <c r="D1" t="s">
        <v>2</v>
      </c>
    </row>
    <row r="2" spans="1:10">
      <c r="A2">
        <v>1</v>
      </c>
      <c r="B2">
        <v>0</v>
      </c>
      <c r="C2">
        <f>C19/10</f>
        <v>0.8</v>
      </c>
      <c r="D2">
        <v>0</v>
      </c>
    </row>
    <row r="3" spans="1:10">
      <c r="A3">
        <v>2</v>
      </c>
      <c r="B3">
        <v>1</v>
      </c>
      <c r="C3">
        <f t="shared" ref="C3:C12" si="0">C20/10</f>
        <v>0</v>
      </c>
      <c r="D3">
        <f t="shared" ref="D3:D12" si="1">D20/B3</f>
        <v>0</v>
      </c>
      <c r="J3">
        <f>200/100</f>
        <v>2</v>
      </c>
    </row>
    <row r="4" spans="1:10">
      <c r="A4">
        <v>3</v>
      </c>
      <c r="B4">
        <v>2</v>
      </c>
      <c r="C4">
        <f t="shared" si="0"/>
        <v>0.1</v>
      </c>
      <c r="D4">
        <f t="shared" si="1"/>
        <v>6</v>
      </c>
    </row>
    <row r="5" spans="1:10">
      <c r="A5">
        <v>4</v>
      </c>
      <c r="B5">
        <v>3</v>
      </c>
      <c r="C5">
        <f t="shared" si="0"/>
        <v>0.9</v>
      </c>
      <c r="D5">
        <f t="shared" si="1"/>
        <v>5.5566666666666675</v>
      </c>
    </row>
    <row r="6" spans="1:10">
      <c r="A6">
        <v>5</v>
      </c>
      <c r="B6">
        <v>4</v>
      </c>
      <c r="C6">
        <f t="shared" si="0"/>
        <v>4.8</v>
      </c>
      <c r="D6">
        <f t="shared" si="1"/>
        <v>5.9524999999999997</v>
      </c>
    </row>
    <row r="7" spans="1:10">
      <c r="A7">
        <v>6</v>
      </c>
      <c r="B7">
        <v>5</v>
      </c>
      <c r="C7">
        <f t="shared" si="0"/>
        <v>13.5</v>
      </c>
      <c r="D7">
        <f t="shared" si="1"/>
        <v>6.2534000000000001</v>
      </c>
    </row>
    <row r="8" spans="1:10">
      <c r="A8">
        <v>7</v>
      </c>
      <c r="B8">
        <v>6</v>
      </c>
      <c r="C8">
        <f t="shared" si="0"/>
        <v>25.7</v>
      </c>
      <c r="D8">
        <f t="shared" si="1"/>
        <v>6.1866666666666665</v>
      </c>
    </row>
    <row r="9" spans="1:10">
      <c r="A9">
        <v>8</v>
      </c>
      <c r="B9">
        <v>7</v>
      </c>
      <c r="C9">
        <f t="shared" si="0"/>
        <v>26.5</v>
      </c>
      <c r="D9">
        <f t="shared" si="1"/>
        <v>6.3328571428571427</v>
      </c>
    </row>
    <row r="10" spans="1:10">
      <c r="A10">
        <v>9</v>
      </c>
      <c r="B10">
        <v>8</v>
      </c>
      <c r="C10">
        <f t="shared" si="0"/>
        <v>19.3</v>
      </c>
      <c r="D10">
        <f t="shared" si="1"/>
        <v>6.2324999999999999</v>
      </c>
    </row>
    <row r="11" spans="1:10">
      <c r="A11">
        <v>10</v>
      </c>
      <c r="B11">
        <v>9</v>
      </c>
      <c r="C11">
        <f t="shared" si="0"/>
        <v>7</v>
      </c>
      <c r="D11">
        <f t="shared" si="1"/>
        <v>6.2455555555555557</v>
      </c>
    </row>
    <row r="12" spans="1:10">
      <c r="A12">
        <v>11</v>
      </c>
      <c r="B12">
        <v>10</v>
      </c>
      <c r="C12">
        <f t="shared" si="0"/>
        <v>1.3</v>
      </c>
      <c r="D12">
        <f t="shared" si="1"/>
        <v>6.2460000000000004</v>
      </c>
    </row>
    <row r="13" spans="1:10">
      <c r="A13">
        <v>12</v>
      </c>
      <c r="B13">
        <v>11</v>
      </c>
      <c r="C13">
        <f t="shared" ref="C13" si="2">C30/100</f>
        <v>0.01</v>
      </c>
      <c r="D13">
        <f>D30/B13</f>
        <v>6.8181818181818183</v>
      </c>
    </row>
    <row r="19" spans="3:6">
      <c r="C19">
        <v>8</v>
      </c>
      <c r="D19">
        <v>0</v>
      </c>
    </row>
    <row r="20" spans="3:6">
      <c r="C20">
        <v>0</v>
      </c>
      <c r="D20">
        <v>0</v>
      </c>
    </row>
    <row r="21" spans="3:6">
      <c r="C21">
        <v>1</v>
      </c>
      <c r="D21">
        <v>12</v>
      </c>
    </row>
    <row r="22" spans="3:6">
      <c r="C22">
        <v>9</v>
      </c>
      <c r="D22">
        <v>16.670000000000002</v>
      </c>
    </row>
    <row r="23" spans="3:6">
      <c r="C23">
        <v>48</v>
      </c>
      <c r="D23">
        <v>23.81</v>
      </c>
      <c r="F23" s="1"/>
    </row>
    <row r="24" spans="3:6">
      <c r="C24">
        <v>135</v>
      </c>
      <c r="D24">
        <v>31.266999999999999</v>
      </c>
    </row>
    <row r="25" spans="3:6">
      <c r="C25">
        <v>257</v>
      </c>
      <c r="D25">
        <v>37.119999999999997</v>
      </c>
    </row>
    <row r="26" spans="3:6">
      <c r="C26">
        <v>265</v>
      </c>
      <c r="D26">
        <v>44.33</v>
      </c>
    </row>
    <row r="27" spans="3:6">
      <c r="C27">
        <v>193</v>
      </c>
      <c r="D27">
        <v>49.86</v>
      </c>
    </row>
    <row r="28" spans="3:6">
      <c r="C28">
        <v>70</v>
      </c>
      <c r="D28">
        <v>56.21</v>
      </c>
    </row>
    <row r="29" spans="3:6">
      <c r="C29">
        <v>13</v>
      </c>
      <c r="D29">
        <v>62.46</v>
      </c>
    </row>
    <row r="30" spans="3:6">
      <c r="C30">
        <v>1</v>
      </c>
      <c r="D30">
        <v>75</v>
      </c>
    </row>
    <row r="202" spans="6:6">
      <c r="F202">
        <v>5</v>
      </c>
    </row>
    <row r="724" spans="5:7">
      <c r="E724">
        <v>265</v>
      </c>
      <c r="F724">
        <v>7</v>
      </c>
      <c r="G724">
        <v>44.33</v>
      </c>
    </row>
    <row r="917" spans="5:7">
      <c r="E917">
        <v>193</v>
      </c>
      <c r="F917">
        <v>8</v>
      </c>
      <c r="G917">
        <v>49.86</v>
      </c>
    </row>
    <row r="987" spans="5:7">
      <c r="E987">
        <v>70</v>
      </c>
      <c r="F987">
        <v>9</v>
      </c>
      <c r="G987">
        <v>56.21</v>
      </c>
    </row>
    <row r="1000" spans="5:7">
      <c r="E1000">
        <v>13</v>
      </c>
      <c r="F1000">
        <v>10</v>
      </c>
      <c r="G1000">
        <v>62.46</v>
      </c>
    </row>
    <row r="1001" spans="5:7">
      <c r="E1001">
        <v>1</v>
      </c>
      <c r="F1001">
        <v>11</v>
      </c>
      <c r="G1001">
        <v>75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2</vt:i4>
      </vt:variant>
    </vt:vector>
  </HeadingPairs>
  <TitlesOfParts>
    <vt:vector size="2" baseType="lpstr">
      <vt:lpstr>Blad1</vt:lpstr>
      <vt:lpstr>Blad3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ediz_cracked@hotmail.com</dc:creator>
  <cp:lastModifiedBy>Simon Edänge</cp:lastModifiedBy>
  <dcterms:created xsi:type="dcterms:W3CDTF">2015-02-22T16:39:43Z</dcterms:created>
  <dcterms:modified xsi:type="dcterms:W3CDTF">2015-05-07T16:18:49Z</dcterms:modified>
</cp:coreProperties>
</file>